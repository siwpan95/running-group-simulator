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属性" sheetId="1" state="visible" r:id="rId1"/>
    <sheet name="技能" sheetId="2" state="visible" r:id="rId2"/>
    <sheet name="优劣势" sheetId="3" state="visible" r:id="rId3"/>
    <sheet name="特征" sheetId="4" state="visible" r:id="rId4"/>
    <sheet name="装备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E94560"/>
      <sz val="14"/>
    </font>
    <font>
      <color rgb="00999999"/>
      <sz val="8"/>
    </font>
    <font>
      <name val="Microsoft YaHei"/>
      <b val="1"/>
      <color rgb="00FFFFFF"/>
      <sz val="11"/>
    </font>
    <font>
      <name val="Microsoft YaHei"/>
      <sz val="10"/>
    </font>
  </fonts>
  <fills count="5">
    <fill>
      <patternFill/>
    </fill>
    <fill>
      <patternFill patternType="gray125"/>
    </fill>
    <fill>
      <patternFill patternType="solid">
        <fgColor rgb="0016213E"/>
        <bgColor rgb="0016213E"/>
      </patternFill>
    </fill>
    <fill>
      <patternFill patternType="solid">
        <fgColor rgb="00FFFFFF"/>
        <bgColor rgb="00FFFFFF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40" customWidth="1" min="4" max="4"/>
    <col width="18" customWidth="1" min="5" max="5"/>
    <col width="13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 ht="32" customHeight="1">
      <c r="A1" s="1" t="inlineStr">
        <is>
          <t>#character_attributes    │    空白角色卡</t>
        </is>
      </c>
    </row>
    <row r="2">
      <c r="A2" s="2" t="inlineStr">
        <is>
          <t>#character_attributes</t>
        </is>
      </c>
    </row>
    <row r="3">
      <c r="A3" s="3" t="inlineStr">
        <is>
          <t>字段</t>
        </is>
      </c>
      <c r="B3" s="3" t="inlineStr">
        <is>
          <t>值</t>
        </is>
      </c>
      <c r="C3" s="3" t="inlineStr">
        <is>
          <t>花费点数</t>
        </is>
      </c>
      <c r="D3" s="3" t="inlineStr">
        <is>
          <t>说明</t>
        </is>
      </c>
      <c r="E3" s="3" t="inlineStr">
        <is>
          <t>自动计算</t>
        </is>
      </c>
      <c r="F3" t="inlineStr">
        <is>
          <t>公式</t>
        </is>
      </c>
      <c r="G3" t="inlineStr"/>
      <c r="H3" t="inlineStr"/>
      <c r="I3" t="inlineStr"/>
      <c r="J3" t="inlineStr"/>
    </row>
    <row r="4">
      <c r="A4" s="4" t="inlineStr">
        <is>
          <t>角色名</t>
        </is>
      </c>
      <c r="B4" s="4" t="inlineStr"/>
      <c r="C4" s="4" t="inlineStr"/>
      <c r="D4" s="4" t="inlineStr">
        <is>
          <t>填写角色名字</t>
        </is>
      </c>
      <c r="E4" s="4" t="inlineStr"/>
      <c r="F4" s="4" t="inlineStr"/>
    </row>
    <row r="5">
      <c r="A5" s="5" t="inlineStr">
        <is>
          <t>角色ID</t>
        </is>
      </c>
      <c r="B5" s="5" t="inlineStr"/>
      <c r="C5" s="5" t="inlineStr"/>
      <c r="D5" s="5" t="inlineStr">
        <is>
          <t>英文标识符，如 investigator_liming</t>
        </is>
      </c>
      <c r="E5" s="5" t="inlineStr"/>
      <c r="F5" s="5" t="inlineStr"/>
    </row>
    <row r="6">
      <c r="A6" s="4" t="inlineStr">
        <is>
          <t>ST (力量)</t>
        </is>
      </c>
      <c r="B6" s="4" t="n">
        <v>10</v>
      </c>
      <c r="C6" s="4" t="n">
        <v>0</v>
      </c>
      <c r="D6" s="4" t="inlineStr">
        <is>
          <t>基础：10，每+1 花费 10 点</t>
        </is>
      </c>
      <c r="E6" s="4" t="inlineStr"/>
      <c r="F6" s="4" t="inlineStr"/>
    </row>
    <row r="7">
      <c r="A7" s="5" t="inlineStr">
        <is>
          <t>DX (敏捷)</t>
        </is>
      </c>
      <c r="B7" s="5" t="n">
        <v>10</v>
      </c>
      <c r="C7" s="5" t="n">
        <v>0</v>
      </c>
      <c r="D7" s="5" t="inlineStr">
        <is>
          <t>基础：10，每+1 花费 20 点</t>
        </is>
      </c>
      <c r="E7" s="5" t="inlineStr"/>
      <c r="F7" s="5" t="inlineStr"/>
    </row>
    <row r="8">
      <c r="A8" s="4" t="inlineStr">
        <is>
          <t>IQ (智力)</t>
        </is>
      </c>
      <c r="B8" s="4" t="n">
        <v>10</v>
      </c>
      <c r="C8" s="4" t="n">
        <v>0</v>
      </c>
      <c r="D8" s="4" t="inlineStr">
        <is>
          <t>基础：10，每+1 花费 20 点</t>
        </is>
      </c>
      <c r="E8" s="4" t="inlineStr"/>
      <c r="F8" s="4" t="inlineStr"/>
    </row>
    <row r="9">
      <c r="A9" s="5" t="inlineStr">
        <is>
          <t>HT (体质)</t>
        </is>
      </c>
      <c r="B9" s="5" t="n">
        <v>10</v>
      </c>
      <c r="C9" s="5" t="n">
        <v>0</v>
      </c>
      <c r="D9" s="5" t="inlineStr">
        <is>
          <t>基础：10，每+1 花费 10 点</t>
        </is>
      </c>
      <c r="E9" s="5" t="inlineStr"/>
      <c r="F9" s="5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</row>
    <row r="11">
      <c r="A11" s="5" t="inlineStr">
        <is>
          <t>─── 衍生值（自动计算）───</t>
        </is>
      </c>
      <c r="B11" s="5" t="inlineStr"/>
      <c r="C11" s="5" t="inlineStr"/>
      <c r="D11" s="5" t="inlineStr"/>
      <c r="E11" s="5" t="inlineStr"/>
      <c r="F11" s="5" t="inlineStr"/>
    </row>
    <row r="12">
      <c r="A12" s="4" t="inlineStr">
        <is>
          <t>HP 上限</t>
        </is>
      </c>
      <c r="B12" s="4" t="inlineStr"/>
      <c r="C12" s="4" t="inlineStr"/>
      <c r="D12" s="4">
        <f>ST（可单独购买±30%）</f>
        <v/>
      </c>
      <c r="E12" s="4">
        <f>B5</f>
        <v/>
      </c>
      <c r="F12" s="4" t="inlineStr">
        <is>
          <t>HP = ST</t>
        </is>
      </c>
    </row>
    <row r="13">
      <c r="A13" s="5" t="inlineStr">
        <is>
          <t>FP 上限</t>
        </is>
      </c>
      <c r="B13" s="5" t="inlineStr"/>
      <c r="C13" s="5" t="inlineStr"/>
      <c r="D13" s="5">
        <f>HT</f>
        <v/>
      </c>
      <c r="E13" s="5">
        <f>B8</f>
        <v/>
      </c>
      <c r="F13" s="5" t="inlineStr">
        <is>
          <t>FP = HT</t>
        </is>
      </c>
    </row>
    <row r="14">
      <c r="A14" s="4" t="inlineStr">
        <is>
          <t>基础速度</t>
        </is>
      </c>
      <c r="B14" s="4" t="inlineStr"/>
      <c r="C14" s="4" t="inlineStr"/>
      <c r="D14" s="4">
        <f>(DX+HT)/4</f>
        <v/>
      </c>
      <c r="E14" s="4">
        <f>(B6+B8)/4</f>
        <v/>
      </c>
      <c r="F14" s="4" t="inlineStr">
        <is>
          <t>Basic Speed</t>
        </is>
      </c>
    </row>
    <row r="15">
      <c r="A15" s="5" t="inlineStr">
        <is>
          <t>基础移动</t>
        </is>
      </c>
      <c r="B15" s="5" t="inlineStr"/>
      <c r="C15" s="5" t="inlineStr"/>
      <c r="D15" s="5">
        <f>基础速度 取整</f>
        <v/>
      </c>
      <c r="E15" s="5">
        <f>INT(B13)</f>
        <v/>
      </c>
      <c r="F15" s="5" t="inlineStr">
        <is>
          <t>Basic Move</t>
        </is>
      </c>
    </row>
    <row r="16">
      <c r="A16" s="4" t="inlineStr">
        <is>
          <t>闪避</t>
        </is>
      </c>
      <c r="B16" s="4" t="inlineStr"/>
      <c r="C16" s="4" t="inlineStr"/>
      <c r="D16" s="4">
        <f>(DX+2)/2</f>
        <v/>
      </c>
      <c r="E16" s="4">
        <f>INT((B6+2)/2)</f>
        <v/>
      </c>
      <c r="F16" s="4" t="inlineStr">
        <is>
          <t>Dodge</t>
        </is>
      </c>
    </row>
    <row r="17">
      <c r="A17" s="5" t="inlineStr">
        <is>
          <t>意志 Will</t>
        </is>
      </c>
      <c r="B17" s="5" t="inlineStr"/>
      <c r="C17" s="5" t="inlineStr"/>
      <c r="D17" s="5">
        <f>IQ（可±30%）</f>
        <v/>
      </c>
      <c r="E17" s="5">
        <f>B7</f>
        <v/>
      </c>
      <c r="F17" s="5" t="inlineStr">
        <is>
          <t>Will = IQ</t>
        </is>
      </c>
    </row>
    <row r="18">
      <c r="A18" s="4" t="inlineStr">
        <is>
          <t>感知 Per</t>
        </is>
      </c>
      <c r="B18" s="4" t="inlineStr"/>
      <c r="C18" s="4" t="inlineStr"/>
      <c r="D18" s="4">
        <f>IQ（可±30%）</f>
        <v/>
      </c>
      <c r="E18" s="4">
        <f>B7</f>
        <v/>
      </c>
      <c r="F18" s="4" t="inlineStr">
        <is>
          <t>Per = IQ</t>
        </is>
      </c>
    </row>
    <row r="19">
      <c r="A19" s="5" t="inlineStr"/>
      <c r="B19" s="5" t="inlineStr"/>
      <c r="C19" s="5" t="inlineStr"/>
      <c r="D19" s="5" t="inlineStr"/>
      <c r="E19" s="5" t="inlineStr"/>
      <c r="F19" s="5" t="inlineStr"/>
    </row>
    <row r="20">
      <c r="A20" s="4" t="inlineStr">
        <is>
          <t>─── 资源池 ───</t>
        </is>
      </c>
      <c r="B20" s="4" t="inlineStr"/>
      <c r="C20" s="4" t="inlineStr"/>
      <c r="D20" s="4" t="inlineStr"/>
      <c r="E20" s="4" t="inlineStr"/>
      <c r="F20" s="4" t="inlineStr"/>
    </row>
    <row r="21">
      <c r="A21" s="5" t="inlineStr">
        <is>
          <t>专注点上限</t>
        </is>
      </c>
      <c r="B21" s="5" t="n">
        <v>3</v>
      </c>
      <c r="C21" s="5" t="inlineStr"/>
      <c r="D21" s="5" t="inlineStr">
        <is>
          <t>默认 3</t>
        </is>
      </c>
      <c r="E21" s="5" t="inlineStr"/>
      <c r="F21" s="5" t="inlineStr"/>
    </row>
    <row r="22">
      <c r="A22" s="4" t="inlineStr">
        <is>
          <t>幸运点上限</t>
        </is>
      </c>
      <c r="B22" s="4" t="n">
        <v>2</v>
      </c>
      <c r="C22" s="4" t="inlineStr"/>
      <c r="D22" s="4" t="inlineStr">
        <is>
          <t>默认 2</t>
        </is>
      </c>
      <c r="E22" s="4" t="inlineStr"/>
      <c r="F22" s="4" t="inlineStr"/>
    </row>
    <row r="23">
      <c r="A23" s="5" t="inlineStr"/>
      <c r="B23" s="5" t="inlineStr"/>
      <c r="C23" s="5" t="inlineStr"/>
      <c r="D23" s="5" t="inlineStr"/>
      <c r="E23" s="5" t="inlineStr"/>
      <c r="F23" s="5" t="inlineStr"/>
    </row>
    <row r="24">
      <c r="A24" s="4" t="inlineStr">
        <is>
          <t>─── 预算 ───</t>
        </is>
      </c>
      <c r="B24" s="4" t="inlineStr"/>
      <c r="C24" s="4" t="inlineStr"/>
      <c r="D24" s="4" t="inlineStr"/>
      <c r="E24" s="4" t="inlineStr"/>
      <c r="F24" s="4" t="inlineStr"/>
    </row>
    <row r="25">
      <c r="A25" s="5" t="inlineStr">
        <is>
          <t>可用点数</t>
        </is>
      </c>
      <c r="B25" s="5" t="n">
        <v>100</v>
      </c>
      <c r="C25" s="5" t="inlineStr"/>
      <c r="D25" s="5" t="inlineStr">
        <is>
          <t>标准 100 点建卡</t>
        </is>
      </c>
      <c r="E25" s="5" t="inlineStr"/>
      <c r="F25" s="5" t="inlineStr"/>
    </row>
    <row r="26">
      <c r="A26" s="4" t="inlineStr">
        <is>
          <t>属性花费</t>
        </is>
      </c>
      <c r="B26" s="4" t="inlineStr"/>
      <c r="C26" s="4" t="inlineStr"/>
      <c r="D26" s="4" t="inlineStr">
        <is>
          <t>ST 差值×10 + DX/IQ 差值×20 + HT 差值×10</t>
        </is>
      </c>
      <c r="E26" s="4" t="inlineStr"/>
      <c r="F26" s="4" t="inlineStr"/>
    </row>
    <row r="27">
      <c r="A27" s="5" t="inlineStr">
        <is>
          <t>技能花费</t>
        </is>
      </c>
      <c r="B27" s="5" t="inlineStr"/>
      <c r="C27" s="5" t="inlineStr"/>
      <c r="D27" s="5" t="inlineStr">
        <is>
          <t>从 Sheet:技能 汇总</t>
        </is>
      </c>
      <c r="E27" s="5" t="inlineStr"/>
      <c r="F27" s="5" t="inlineStr"/>
    </row>
    <row r="28">
      <c r="A28" s="4" t="inlineStr">
        <is>
          <t>优劣花费</t>
        </is>
      </c>
      <c r="B28" s="4" t="inlineStr"/>
      <c r="C28" s="4" t="inlineStr"/>
      <c r="D28" s="4" t="inlineStr">
        <is>
          <t>从 Sheet:优劣势 汇总</t>
        </is>
      </c>
      <c r="E28" s="4" t="inlineStr"/>
      <c r="F28" s="4" t="inlineStr"/>
    </row>
    <row r="29">
      <c r="A29" s="5" t="inlineStr">
        <is>
          <t>剩余点数</t>
        </is>
      </c>
      <c r="B29" s="5" t="inlineStr"/>
      <c r="C29" s="5" t="inlineStr"/>
      <c r="D29" s="5">
        <f>可用-属性-技能-优劣</f>
        <v/>
      </c>
      <c r="E29" s="5">
        <f>B24-B25-B26-B27</f>
        <v/>
      </c>
      <c r="F29" s="5" t="inlineStr"/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8" customWidth="1" min="7" max="7"/>
    <col width="10" customWidth="1" min="8" max="8"/>
  </cols>
  <sheetData>
    <row r="1" ht="32" customHeight="1">
      <c r="A1" s="1" t="inlineStr">
        <is>
          <t>#character_skills</t>
        </is>
      </c>
    </row>
    <row r="2">
      <c r="A2" s="2" t="inlineStr">
        <is>
          <t>#character_skills</t>
        </is>
      </c>
    </row>
    <row r="3">
      <c r="A3" s="3" t="inlineStr">
        <is>
          <t>技能名</t>
        </is>
      </c>
      <c r="B3" s="3" t="inlineStr">
        <is>
          <t>难度</t>
        </is>
      </c>
      <c r="C3" s="3" t="inlineStr">
        <is>
          <t>基础属性</t>
        </is>
      </c>
      <c r="D3" s="3" t="inlineStr">
        <is>
          <t>等级</t>
        </is>
      </c>
      <c r="E3" s="3" t="inlineStr">
        <is>
          <t>花费点数</t>
        </is>
      </c>
      <c r="F3" s="3" t="inlineStr">
        <is>
          <t>说明</t>
        </is>
      </c>
      <c r="G3" s="3" t="inlineStr">
        <is>
          <t>难度代码</t>
        </is>
      </c>
      <c r="H3" s="3" t="inlineStr">
        <is>
          <t>单价</t>
        </is>
      </c>
    </row>
    <row r="4">
      <c r="A4" s="4" t="inlineStr">
        <is>
          <t>调查</t>
        </is>
      </c>
      <c r="B4" s="4" t="inlineStr">
        <is>
          <t>Avg</t>
        </is>
      </c>
      <c r="C4" s="4" t="inlineStr">
        <is>
          <t>IQ</t>
        </is>
      </c>
      <c r="D4" s="4" t="n">
        <v>14</v>
      </c>
      <c r="E4" s="4" t="n">
        <v>4</v>
      </c>
      <c r="F4" s="4" t="inlineStr">
        <is>
          <t>核心调查技能</t>
        </is>
      </c>
      <c r="G4" s="4" t="inlineStr">
        <is>
          <t>E=1 A=2 H=4 VH=8</t>
        </is>
      </c>
      <c r="H4" s="4" t="n">
        <v>2</v>
      </c>
    </row>
    <row r="5">
      <c r="A5" s="5" t="inlineStr">
        <is>
          <t>潜行</t>
        </is>
      </c>
      <c r="B5" s="5" t="inlineStr">
        <is>
          <t>Avg</t>
        </is>
      </c>
      <c r="C5" s="5" t="inlineStr">
        <is>
          <t>DX</t>
        </is>
      </c>
      <c r="D5" s="5" t="n">
        <v>11</v>
      </c>
      <c r="E5" s="5" t="n">
        <v>2</v>
      </c>
      <c r="F5" s="5" t="inlineStr">
        <is>
          <t>隐匿移动</t>
        </is>
      </c>
      <c r="G5" s="5" t="inlineStr"/>
      <c r="H5" s="5" t="n">
        <v>2</v>
      </c>
    </row>
    <row r="6">
      <c r="A6" s="4" t="inlineStr">
        <is>
          <t>话术</t>
        </is>
      </c>
      <c r="B6" s="4" t="inlineStr">
        <is>
          <t>Avg</t>
        </is>
      </c>
      <c r="C6" s="4" t="inlineStr">
        <is>
          <t>IQ</t>
        </is>
      </c>
      <c r="D6" s="4" t="n">
        <v>13</v>
      </c>
      <c r="E6" s="4" t="n">
        <v>2</v>
      </c>
      <c r="F6" s="4" t="inlineStr">
        <is>
          <t>交涉/说服</t>
        </is>
      </c>
      <c r="G6" s="4" t="inlineStr"/>
      <c r="H6" s="4" t="n">
        <v>2</v>
      </c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</row>
    <row r="8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</row>
  </sheetData>
  <mergeCells count="1">
    <mergeCell ref="A1:H1"/>
  </mergeCells>
  <dataValidations count="1">
    <dataValidation sqref="B4:B17" showDropDown="0" showInputMessage="0" showErrorMessage="0" allowBlank="1" prompt="选择技能难度" type="list">
      <formula1>"Easy,Avg,Hard,VH"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21" customWidth="1" min="3" max="3"/>
    <col width="10" customWidth="1" min="4" max="4"/>
    <col width="20" customWidth="1" min="5" max="5"/>
    <col width="13" customWidth="1" min="6" max="6"/>
    <col width="10" customWidth="1" min="7" max="7"/>
  </cols>
  <sheetData>
    <row r="1" ht="32" customHeight="1">
      <c r="A1" s="1" t="inlineStr">
        <is>
          <t>#character_ads</t>
        </is>
      </c>
    </row>
    <row r="2">
      <c r="A2" s="2" t="inlineStr">
        <is>
          <t>#character_ads</t>
        </is>
      </c>
    </row>
    <row r="3">
      <c r="A3" s="3" t="inlineStr">
        <is>
          <t>类型</t>
        </is>
      </c>
      <c r="B3" s="3" t="inlineStr">
        <is>
          <t>名称</t>
        </is>
      </c>
      <c r="C3" s="3" t="inlineStr">
        <is>
          <t>点数（优势+/劣势-）</t>
        </is>
      </c>
      <c r="D3" s="3" t="inlineStr">
        <is>
          <t>等级</t>
        </is>
      </c>
      <c r="E3" s="3" t="inlineStr">
        <is>
          <t>说明</t>
        </is>
      </c>
      <c r="F3" s="3" t="inlineStr">
        <is>
          <t>上限检查</t>
        </is>
      </c>
      <c r="G3" t="inlineStr"/>
    </row>
    <row r="4">
      <c r="A4" s="4" t="inlineStr">
        <is>
          <t>优势</t>
        </is>
      </c>
      <c r="B4" s="4" t="inlineStr">
        <is>
          <t>警觉</t>
        </is>
      </c>
      <c r="C4" s="4" t="n">
        <v>5</v>
      </c>
      <c r="D4" s="4" t="n">
        <v>1</v>
      </c>
      <c r="E4" s="4" t="inlineStr">
        <is>
          <t>Per +1</t>
        </is>
      </c>
      <c r="F4" s="4" t="inlineStr"/>
      <c r="G4" t="inlineStr"/>
    </row>
    <row r="5">
      <c r="A5" s="5" t="inlineStr">
        <is>
          <t>优势</t>
        </is>
      </c>
      <c r="B5" s="5" t="inlineStr">
        <is>
          <t>快速反应</t>
        </is>
      </c>
      <c r="C5" s="5" t="n">
        <v>15</v>
      </c>
      <c r="D5" s="5" t="n">
        <v>1</v>
      </c>
      <c r="E5" s="5" t="inlineStr">
        <is>
          <t>所有先攻+1</t>
        </is>
      </c>
      <c r="F5" s="5" t="inlineStr"/>
      <c r="G5" t="inlineStr"/>
    </row>
    <row r="6">
      <c r="A6" s="4" t="inlineStr">
        <is>
          <t>劣势</t>
        </is>
      </c>
      <c r="B6" s="4" t="inlineStr">
        <is>
          <t>好奇心（强烈）</t>
        </is>
      </c>
      <c r="C6" s="4" t="n">
        <v>-5</v>
      </c>
      <c r="D6" s="4" t="n">
        <v>1</v>
      </c>
      <c r="E6" s="4" t="inlineStr">
        <is>
          <t>抵抗难度的自控检定</t>
        </is>
      </c>
      <c r="F6" s="4" t="inlineStr">
        <is>
          <t>劣势 ≥ -40</t>
        </is>
      </c>
      <c r="G6" t="inlineStr"/>
    </row>
    <row r="7">
      <c r="A7" s="5" t="inlineStr">
        <is>
          <t>劣势</t>
        </is>
      </c>
      <c r="B7" s="5" t="inlineStr">
        <is>
          <t>失眠</t>
        </is>
      </c>
      <c r="C7" s="5" t="n">
        <v>-10</v>
      </c>
      <c r="D7" s="5" t="n">
        <v>1</v>
      </c>
      <c r="E7" s="5" t="inlineStr">
        <is>
          <t>HT-2 对抗失眠</t>
        </is>
      </c>
      <c r="F7" s="5" t="inlineStr"/>
      <c r="G7" t="inlineStr"/>
    </row>
    <row r="8">
      <c r="A8" s="4" t="inlineStr"/>
      <c r="B8" s="4" t="inlineStr"/>
      <c r="C8" s="4" t="inlineStr"/>
      <c r="D8" s="4" t="inlineStr"/>
      <c r="E8" s="4" t="inlineStr"/>
      <c r="F8" s="4" t="inlineStr"/>
      <c r="G8" t="inlineStr"/>
    </row>
    <row r="9">
      <c r="A9" s="5" t="inlineStr">
        <is>
          <t>─── 汇总 ──</t>
        </is>
      </c>
      <c r="B9" s="5" t="inlineStr"/>
      <c r="C9" s="5" t="inlineStr"/>
      <c r="D9" s="5" t="inlineStr"/>
      <c r="E9" s="5" t="inlineStr"/>
      <c r="F9" s="5" t="inlineStr"/>
      <c r="G9" t="inlineStr"/>
    </row>
    <row r="10">
      <c r="A10" s="4" t="inlineStr">
        <is>
          <t>优势合计</t>
        </is>
      </c>
      <c r="B10" s="4" t="inlineStr"/>
      <c r="C10" s="4" t="inlineStr"/>
      <c r="D10" s="4" t="inlineStr"/>
      <c r="E10" s="4" t="inlineStr"/>
      <c r="F10" s="4" t="inlineStr"/>
      <c r="G10" t="inlineStr"/>
    </row>
    <row r="11">
      <c r="A11" s="5" t="inlineStr">
        <is>
          <t>劣势合计</t>
        </is>
      </c>
      <c r="B11" s="5" t="inlineStr"/>
      <c r="C11" s="5" t="inlineStr"/>
      <c r="D11" s="5" t="inlineStr"/>
      <c r="E11" s="5" t="inlineStr"/>
      <c r="F11" s="5" t="inlineStr"/>
      <c r="G11" t="inlineStr"/>
    </row>
    <row r="12">
      <c r="A12" s="4" t="inlineStr">
        <is>
          <t>净花费</t>
        </is>
      </c>
      <c r="B12" s="4">
        <f>B8+B9</f>
        <v/>
      </c>
      <c r="C12" s="4" t="inlineStr"/>
      <c r="D12" s="4" t="inlineStr"/>
      <c r="E12" s="4" t="inlineStr"/>
      <c r="F12" s="4" t="inlineStr"/>
      <c r="G12" t="inlineStr"/>
    </row>
    <row r="13">
      <c r="A13" s="5" t="n"/>
      <c r="B13" s="5" t="n"/>
      <c r="C13" s="5" t="n"/>
      <c r="D13" s="5" t="n"/>
      <c r="E13" s="5" t="n"/>
      <c r="F13" s="5" t="n"/>
    </row>
    <row r="14">
      <c r="A14" s="4" t="n"/>
      <c r="B14" s="4" t="n"/>
      <c r="C14" s="4" t="n"/>
      <c r="D14" s="4" t="n"/>
      <c r="E14" s="4" t="n"/>
      <c r="F14" s="4" t="n"/>
    </row>
    <row r="15">
      <c r="A15" s="5" t="n"/>
      <c r="B15" s="5" t="n"/>
      <c r="C15" s="5" t="n"/>
      <c r="D15" s="5" t="n"/>
      <c r="E15" s="5" t="n"/>
      <c r="F15" s="5" t="n"/>
    </row>
    <row r="16">
      <c r="A16" s="4" t="n"/>
      <c r="B16" s="4" t="n"/>
      <c r="C16" s="4" t="n"/>
      <c r="D16" s="4" t="n"/>
      <c r="E16" s="4" t="n"/>
      <c r="F16" s="4" t="n"/>
    </row>
    <row r="17">
      <c r="A17" s="5" t="n"/>
      <c r="B17" s="5" t="n"/>
      <c r="C17" s="5" t="n"/>
      <c r="D17" s="5" t="n"/>
      <c r="E17" s="5" t="n"/>
      <c r="F17" s="5" t="n"/>
    </row>
  </sheetData>
  <mergeCells count="1">
    <mergeCell ref="A1:G1"/>
  </mergeCells>
  <dataValidations count="1">
    <dataValidation sqref="A4:A17" showDropDown="0" showInputMessage="0" showErrorMessage="0" allowBlank="1" type="list">
      <formula1>"优势,劣势"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28" customWidth="1" min="4" max="4"/>
    <col width="12" customWidth="1" min="5" max="5"/>
    <col width="10" customWidth="1" min="6" max="6"/>
    <col width="10" customWidth="1" min="7" max="7"/>
    <col width="10" customWidth="1" min="8" max="8"/>
  </cols>
  <sheetData>
    <row r="1" ht="32" customHeight="1">
      <c r="A1" s="1" t="inlineStr">
        <is>
          <t>#character_features</t>
        </is>
      </c>
    </row>
    <row r="2">
      <c r="A2" s="2" t="inlineStr">
        <is>
          <t>#character_features</t>
        </is>
      </c>
    </row>
    <row r="3">
      <c r="A3" s="3" t="inlineStr">
        <is>
          <t>特征名</t>
        </is>
      </c>
      <c r="B3" s="3" t="inlineStr">
        <is>
          <t>触发条件</t>
        </is>
      </c>
      <c r="C3" s="3" t="inlineStr">
        <is>
          <t>专注点花费</t>
        </is>
      </c>
      <c r="D3" s="3" t="inlineStr">
        <is>
          <t>效果</t>
        </is>
      </c>
      <c r="E3" s="3" t="inlineStr">
        <is>
          <t>每场景上限</t>
        </is>
      </c>
      <c r="F3" s="3" t="inlineStr">
        <is>
          <t>已用次数</t>
        </is>
      </c>
      <c r="G3" s="3" t="inlineStr">
        <is>
          <t>永久执念</t>
        </is>
      </c>
      <c r="H3" s="3" t="inlineStr">
        <is>
          <t>来源</t>
        </is>
      </c>
    </row>
    <row r="4">
      <c r="A4" s="4" t="inlineStr">
        <is>
          <t>记者的鼻子</t>
        </is>
      </c>
      <c r="B4" s="4" t="inlineStr">
        <is>
          <t>调查异常现象时</t>
        </is>
      </c>
      <c r="C4" s="4" t="n">
        <v>1</v>
      </c>
      <c r="D4" s="4" t="inlineStr">
        <is>
          <t>请求额外线索 / -2 对方对抗</t>
        </is>
      </c>
      <c r="E4" s="4" t="n">
        <v>2</v>
      </c>
      <c r="F4" s="4" t="n">
        <v>0</v>
      </c>
      <c r="G4" s="4" t="inlineStr">
        <is>
          <t>否</t>
        </is>
      </c>
      <c r="H4" s="4" t="inlineStr">
        <is>
          <t>记者</t>
        </is>
      </c>
    </row>
    <row r="5">
      <c r="A5" s="5" t="inlineStr">
        <is>
          <t>经验直觉</t>
        </is>
      </c>
      <c r="B5" s="5" t="inlineStr">
        <is>
          <t>进入危险区域前</t>
        </is>
      </c>
      <c r="C5" s="5" t="n">
        <v>1</v>
      </c>
      <c r="D5" s="5" t="inlineStr">
        <is>
          <t>感知威胁方向/性质</t>
        </is>
      </c>
      <c r="E5" s="5" t="n">
        <v>1</v>
      </c>
      <c r="F5" s="5" t="n">
        <v>0</v>
      </c>
      <c r="G5" s="5" t="inlineStr">
        <is>
          <t>否</t>
        </is>
      </c>
      <c r="H5" s="5" t="inlineStr">
        <is>
          <t>记者</t>
        </is>
      </c>
    </row>
    <row r="6">
      <c r="A6" s="4" t="inlineStr">
        <is>
          <t>可靠同伴</t>
        </is>
      </c>
      <c r="B6" s="4" t="inlineStr">
        <is>
          <t>同伴行动失败时</t>
        </is>
      </c>
      <c r="C6" s="4" t="n">
        <v>1</v>
      </c>
      <c r="D6" s="4" t="inlineStr">
        <is>
          <t>给同伴 +2 下次检定</t>
        </is>
      </c>
      <c r="E6" s="4" t="n">
        <v>1</v>
      </c>
      <c r="F6" s="4" t="n">
        <v>0</v>
      </c>
      <c r="G6" s="4" t="inlineStr">
        <is>
          <t>否</t>
        </is>
      </c>
      <c r="H6" s="4" t="inlineStr">
        <is>
          <t>记者</t>
        </is>
      </c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</row>
    <row r="8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0" customWidth="1" min="8" max="8"/>
    <col width="22" customWidth="1" min="9" max="9"/>
  </cols>
  <sheetData>
    <row r="1" ht="32" customHeight="1">
      <c r="A1" s="1" t="inlineStr">
        <is>
          <t>#character_equipment</t>
        </is>
      </c>
    </row>
    <row r="2">
      <c r="A2" s="2" t="inlineStr">
        <is>
          <t>#character_equipment</t>
        </is>
      </c>
    </row>
    <row r="3">
      <c r="A3" s="3" t="inlineStr">
        <is>
          <t>装备名</t>
        </is>
      </c>
      <c r="B3" s="3" t="inlineStr">
        <is>
          <t>类型</t>
        </is>
      </c>
      <c r="C3" s="3" t="inlineStr">
        <is>
          <t>槽位</t>
        </is>
      </c>
      <c r="D3" s="3" t="inlineStr">
        <is>
          <t>DR</t>
        </is>
      </c>
      <c r="E3" s="3" t="inlineStr">
        <is>
          <t>DR部位</t>
        </is>
      </c>
      <c r="F3" s="3" t="inlineStr">
        <is>
          <t>伤害</t>
        </is>
      </c>
      <c r="G3" s="3" t="inlineStr">
        <is>
          <t>效果</t>
        </is>
      </c>
      <c r="H3" s="3" t="inlineStr">
        <is>
          <t>使用次数</t>
        </is>
      </c>
      <c r="I3" s="3" t="inlineStr">
        <is>
          <t>描述</t>
        </is>
      </c>
    </row>
    <row r="4">
      <c r="A4" s="4" t="inlineStr">
        <is>
          <t>手电筒</t>
        </is>
      </c>
      <c r="B4" s="4" t="inlineStr">
        <is>
          <t>tool</t>
        </is>
      </c>
      <c r="C4" s="4" t="inlineStr">
        <is>
          <t>hand</t>
        </is>
      </c>
      <c r="D4" s="4" t="n">
        <v>0</v>
      </c>
      <c r="E4" s="4" t="inlineStr"/>
      <c r="F4" s="4" t="inlineStr"/>
      <c r="G4" s="4" t="inlineStr">
        <is>
          <t>移除:低能见度</t>
        </is>
      </c>
      <c r="H4" s="4" t="n">
        <v>-1</v>
      </c>
      <c r="I4" s="4" t="inlineStr">
        <is>
          <t>老式手电筒</t>
        </is>
      </c>
    </row>
    <row r="5">
      <c r="A5" s="5" t="inlineStr">
        <is>
          <t>笔记本</t>
        </is>
      </c>
      <c r="B5" s="5" t="inlineStr">
        <is>
          <t>key_item</t>
        </is>
      </c>
      <c r="C5" s="5" t="inlineStr">
        <is>
          <t>backpack</t>
        </is>
      </c>
      <c r="D5" s="5" t="n">
        <v>0</v>
      </c>
      <c r="E5" s="5" t="inlineStr"/>
      <c r="F5" s="5" t="inlineStr"/>
      <c r="G5" s="5" t="inlineStr"/>
      <c r="H5" s="5" t="n">
        <v>-1</v>
      </c>
      <c r="I5" s="5" t="inlineStr">
        <is>
          <t>浸水但还能用的笔记本</t>
        </is>
      </c>
    </row>
    <row r="6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</row>
  </sheetData>
  <mergeCells count="1">
    <mergeCell ref="A1:I1"/>
  </mergeCells>
  <dataValidations count="1">
    <dataValidation sqref="B4:B11" showDropDown="0" showInputMessage="0" showErrorMessage="0" allowBlank="1" type="list">
      <formula1>"weapon,armor,tool,consumable,key_item"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2026-06-06T15:33:13Z</dcterms:created>
  <dcterms:modified xsi:type="dcterms:W3CDTF">2026-06-06T15:33:13Z</dcterms:modified>
</cp:coreProperties>
</file>